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TERNET-PC\OneDrive - The Indus Hospital\Desktop\Data Analytics\Assignment 18\"/>
    </mc:Choice>
  </mc:AlternateContent>
  <xr:revisionPtr revIDLastSave="0" documentId="13_ncr:1_{63B61A90-5330-4588-B661-1CA06BD4BA08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Questions" sheetId="1" r:id="rId1"/>
    <sheet name="Lookup Data" sheetId="2" r:id="rId2"/>
  </sheets>
  <definedNames>
    <definedName name="_xlnm._FilterDatabase" localSheetId="0" hidden="1">Questions!$A$1:$D$20</definedName>
  </definedNames>
  <calcPr calcId="191029" forceFullCalc="1"/>
</workbook>
</file>

<file path=xl/calcChain.xml><?xml version="1.0" encoding="utf-8"?>
<calcChain xmlns="http://schemas.openxmlformats.org/spreadsheetml/2006/main">
  <c r="G3" i="2" l="1"/>
  <c r="G4" i="2"/>
  <c r="G5" i="2"/>
  <c r="G6" i="2"/>
  <c r="G2" i="2"/>
  <c r="G11" i="2"/>
  <c r="H11" i="2"/>
  <c r="I11" i="2"/>
  <c r="F11" i="2"/>
  <c r="F3" i="2"/>
  <c r="F4" i="2"/>
  <c r="F5" i="2"/>
  <c r="F6" i="2"/>
  <c r="F2" i="2"/>
</calcChain>
</file>

<file path=xl/sharedStrings.xml><?xml version="1.0" encoding="utf-8"?>
<sst xmlns="http://schemas.openxmlformats.org/spreadsheetml/2006/main" count="78" uniqueCount="70">
  <si>
    <t>Use only the formulas covered in this practice set: SUM, SUMIF, SUMIFS, COUNTIF, AVERAGE, AVERAGEIF, AVERAGEIFS, MAX, MIN, MAXIFS, MINIFS, DAY, MONTH, YEAR, VLOOKUP, HLOOKUP, XLOOKUP.</t>
  </si>
  <si>
    <t>Q#</t>
  </si>
  <si>
    <t>Formula</t>
  </si>
  <si>
    <t>Question</t>
  </si>
  <si>
    <t>Hint</t>
  </si>
  <si>
    <t>SUM</t>
  </si>
  <si>
    <t>Calculate the total Sales from the Global Superstore Orders data.</t>
  </si>
  <si>
    <t>SUMIF</t>
  </si>
  <si>
    <t>Calculate total Sales for the Technology category.</t>
  </si>
  <si>
    <t>SUMIFS</t>
  </si>
  <si>
    <t>Calculate total Sales for Technology in the APAC market.</t>
  </si>
  <si>
    <t>COUNTIF</t>
  </si>
  <si>
    <t>Count how many orders belong to the Technology category.</t>
  </si>
  <si>
    <t>AVERAGE</t>
  </si>
  <si>
    <t>Calculate the average Sales value.</t>
  </si>
  <si>
    <t>AVERAGEIF</t>
  </si>
  <si>
    <t>Calculate the average Sales for the Technology category.</t>
  </si>
  <si>
    <t>AVERAGEIFS</t>
  </si>
  <si>
    <t>Calculate the average Sales for Technology in the APAC market.</t>
  </si>
  <si>
    <t>MAX</t>
  </si>
  <si>
    <t>Find the highest Sales value.</t>
  </si>
  <si>
    <t>MIN</t>
  </si>
  <si>
    <t>Find the lowest Sales value.</t>
  </si>
  <si>
    <t>MAXIFS</t>
  </si>
  <si>
    <t>Find the highest Sales value for the Technology category.</t>
  </si>
  <si>
    <t>MINIFS</t>
  </si>
  <si>
    <t>Find the lowest Sales value for the Technology category.</t>
  </si>
  <si>
    <t>DAY</t>
  </si>
  <si>
    <t>Extract the day number from the Order Date.</t>
  </si>
  <si>
    <t>MONTH</t>
  </si>
  <si>
    <t>Extract the month number from the Order Date.</t>
  </si>
  <si>
    <t>YEAR</t>
  </si>
  <si>
    <t>Extract the year from the Order Date.</t>
  </si>
  <si>
    <t>VLOOKUP</t>
  </si>
  <si>
    <t>Using a lookup table, return the Category for a given Product ID.</t>
  </si>
  <si>
    <t>Remember: lookup value must be in the first column of the table.</t>
  </si>
  <si>
    <t>HLOOKUP</t>
  </si>
  <si>
    <t>Using a horizontal lookup table, return the value for a selected month.</t>
  </si>
  <si>
    <t>Remember: lookup value must be in the first row.</t>
  </si>
  <si>
    <t>XLOOKUP</t>
  </si>
  <si>
    <t>Using Product ID as the lookup value, return the Product Name.</t>
  </si>
  <si>
    <t>Think: lookup value, lookup array, return array.</t>
  </si>
  <si>
    <t>Using Customer ID as the lookup value, return the Customer Name.</t>
  </si>
  <si>
    <t>Using Order ID as the lookup value, return the Sales value.</t>
  </si>
  <si>
    <t>Product ID</t>
  </si>
  <si>
    <t>Category</t>
  </si>
  <si>
    <t>Product Name</t>
  </si>
  <si>
    <t>Sales</t>
  </si>
  <si>
    <t>TEC-PH-5816</t>
  </si>
  <si>
    <t>Technology</t>
  </si>
  <si>
    <t>Samsung Convoy 3</t>
  </si>
  <si>
    <t>FUR-CH-5379</t>
  </si>
  <si>
    <t>Furniture</t>
  </si>
  <si>
    <t>Novimex Executive Leather Armchair, Black</t>
  </si>
  <si>
    <t>TEC-PH-5356</t>
  </si>
  <si>
    <t>Nokia Smart Phone, with Caller ID</t>
  </si>
  <si>
    <t>TEC-PH-5267</t>
  </si>
  <si>
    <t>Motorola Smart Phone, Cordless</t>
  </si>
  <si>
    <t>TEC-CO-6011</t>
  </si>
  <si>
    <t>Sharp Wireless Fax, High-Speed</t>
  </si>
  <si>
    <t>Month</t>
  </si>
  <si>
    <t>Jan</t>
  </si>
  <si>
    <t>Feb</t>
  </si>
  <si>
    <t>Mar</t>
  </si>
  <si>
    <t>Apr</t>
  </si>
  <si>
    <t>HLOOKUP Data</t>
  </si>
  <si>
    <t>For VLOOKUP/HLOOKUP/XLOOKUP, use the small lookup tables where needed.</t>
  </si>
  <si>
    <t>Ques 15, Ans</t>
  </si>
  <si>
    <t>Ques 16, Ans</t>
  </si>
  <si>
    <t>Ques 17, 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</si>
</sst>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/>
    <xf numFmtId="0" fontId="0" fillId="3" borderId="1" xfId="0" applyFill="1" applyBorder="1"/>
    <xf numFmtId="0" fontId="0" fillId="0" borderId="1" xfId="0" applyBorder="1" applyAlignment="1">
      <alignment wrapText="1"/>
    </xf>
    <xf numFmtId="0" fontId="0" fillId="3" borderId="2" xfId="0" applyFill="1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9" xfId="0" applyBorder="1" applyAlignment="1">
      <alignment wrapText="1"/>
    </xf>
    <xf numFmtId="0" fontId="3" fillId="4" borderId="3" xfId="0" applyFont="1" applyFill="1" applyBorder="1" applyAlignment="1">
      <alignment horizontal="left" wrapText="1"/>
    </xf>
    <xf numFmtId="0" fontId="3" fillId="4" borderId="4" xfId="0" applyFont="1" applyFill="1" applyBorder="1" applyAlignment="1">
      <alignment horizontal="left" wrapText="1"/>
    </xf>
    <xf numFmtId="0" fontId="3" fillId="4" borderId="2" xfId="0" applyFont="1" applyFill="1" applyBorder="1" applyAlignment="1">
      <alignment horizontal="left" wrapText="1"/>
    </xf>
    <xf numFmtId="164" fontId="4" fillId="3" borderId="1" xfId="0" applyNumberFormat="1" applyFont="1" applyFill="1" applyBorder="1"/>
    <xf numFmtId="164" fontId="4" fillId="3" borderId="2" xfId="0" applyNumberFormat="1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18"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EAB56E-D97F-488F-AAA0-21FB306067F2}" name="Table2" displayName="Table2" ref="A11:E12" totalsRowShown="0" headerRowDxfId="8" dataDxfId="9" headerRowBorderDxfId="16" tableBorderDxfId="17" totalsRowBorderDxfId="15">
  <autoFilter ref="A11:E12" xr:uid="{D6EAB56E-D97F-488F-AAA0-21FB306067F2}"/>
  <tableColumns count="5">
    <tableColumn id="1" xr3:uid="{68789BE9-0E5B-45A6-8800-0C616F3654F9}" name="Month" dataDxfId="14"/>
    <tableColumn id="2" xr3:uid="{1475AEC9-F82D-4090-AF08-F1D334E36508}" name="Jan" dataDxfId="13"/>
    <tableColumn id="3" xr3:uid="{39A2BB40-B551-4291-8228-B1C0BBAC5974}" name="Feb" dataDxfId="12"/>
    <tableColumn id="4" xr3:uid="{8866E08E-11B6-4A6A-A791-EF2688D8C24C}" name="Mar" dataDxfId="11"/>
    <tableColumn id="5" xr3:uid="{DE8AA3DB-A471-426C-AA15-2E6BFA9419CB}" name="Apr" dataDxfId="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9920E9-6905-487F-96DC-C76A0C744AB8}" name="Table3" displayName="Table3" ref="A1:D6" totalsRowShown="0" headerRowDxfId="0" headerRowBorderDxfId="6" tableBorderDxfId="7" totalsRowBorderDxfId="5">
  <autoFilter ref="A1:D6" xr:uid="{339920E9-6905-487F-96DC-C76A0C744AB8}"/>
  <tableColumns count="4">
    <tableColumn id="1" xr3:uid="{9839833E-C0EA-43AA-BF65-14CEF3E7191B}" name="Product ID" dataDxfId="4"/>
    <tableColumn id="2" xr3:uid="{7CFF3626-EF39-4997-AE7D-8A0105D37157}" name="Category" dataDxfId="3"/>
    <tableColumn id="3" xr3:uid="{F72D4042-D5EC-4574-B092-93ECAEA39830}" name="Product Name" dataDxfId="2"/>
    <tableColumn id="4" xr3:uid="{A662E871-948F-4439-AC5E-235549C7DF6B}" name="Sales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workbookViewId="0">
      <pane ySplit="1" topLeftCell="A2" activePane="bottomLeft" state="frozen"/>
      <selection pane="bottomLeft" activeCell="C22" sqref="C22"/>
    </sheetView>
  </sheetViews>
  <sheetFormatPr defaultRowHeight="15" x14ac:dyDescent="0.25"/>
  <cols>
    <col min="1" max="1" width="8" customWidth="1"/>
    <col min="2" max="2" width="18" customWidth="1"/>
    <col min="3" max="3" width="85" customWidth="1"/>
    <col min="4" max="4" width="60" customWidth="1"/>
  </cols>
  <sheetData>
    <row r="1" spans="1:4" ht="18.75" x14ac:dyDescent="0.3">
      <c r="A1" s="1"/>
    </row>
    <row r="2" spans="1:4" x14ac:dyDescent="0.25">
      <c r="A2" s="4" t="s">
        <v>0</v>
      </c>
      <c r="B2" s="5"/>
      <c r="C2" s="5"/>
      <c r="D2" s="5"/>
    </row>
    <row r="3" spans="1:4" x14ac:dyDescent="0.25">
      <c r="A3" s="4" t="s">
        <v>66</v>
      </c>
      <c r="B3" s="5"/>
      <c r="C3" s="5"/>
      <c r="D3" s="5"/>
    </row>
    <row r="4" spans="1:4" x14ac:dyDescent="0.25">
      <c r="A4" s="2" t="s">
        <v>1</v>
      </c>
      <c r="B4" s="2" t="s">
        <v>2</v>
      </c>
      <c r="C4" s="2" t="s">
        <v>3</v>
      </c>
      <c r="D4" s="2" t="s">
        <v>4</v>
      </c>
    </row>
    <row r="5" spans="1:4" x14ac:dyDescent="0.25">
      <c r="A5" s="3">
        <v>1</v>
      </c>
      <c r="B5" s="3" t="s">
        <v>5</v>
      </c>
      <c r="C5" s="3" t="s">
        <v>6</v>
      </c>
      <c r="D5" s="3"/>
    </row>
    <row r="6" spans="1:4" x14ac:dyDescent="0.25">
      <c r="A6" s="3">
        <v>2</v>
      </c>
      <c r="B6" s="3" t="s">
        <v>7</v>
      </c>
      <c r="C6" s="3" t="s">
        <v>8</v>
      </c>
      <c r="D6" s="3"/>
    </row>
    <row r="7" spans="1:4" x14ac:dyDescent="0.25">
      <c r="A7" s="3">
        <v>3</v>
      </c>
      <c r="B7" s="3" t="s">
        <v>9</v>
      </c>
      <c r="C7" s="3" t="s">
        <v>10</v>
      </c>
      <c r="D7" s="3"/>
    </row>
    <row r="8" spans="1:4" x14ac:dyDescent="0.25">
      <c r="A8" s="3">
        <v>4</v>
      </c>
      <c r="B8" s="3" t="s">
        <v>11</v>
      </c>
      <c r="C8" s="3" t="s">
        <v>12</v>
      </c>
      <c r="D8" s="3"/>
    </row>
    <row r="9" spans="1:4" x14ac:dyDescent="0.25">
      <c r="A9" s="3">
        <v>5</v>
      </c>
      <c r="B9" s="3" t="s">
        <v>13</v>
      </c>
      <c r="C9" s="3" t="s">
        <v>14</v>
      </c>
      <c r="D9" s="3"/>
    </row>
    <row r="10" spans="1:4" x14ac:dyDescent="0.25">
      <c r="A10" s="3">
        <v>6</v>
      </c>
      <c r="B10" s="3" t="s">
        <v>15</v>
      </c>
      <c r="C10" s="3" t="s">
        <v>16</v>
      </c>
      <c r="D10" s="3"/>
    </row>
    <row r="11" spans="1:4" x14ac:dyDescent="0.25">
      <c r="A11" s="3">
        <v>7</v>
      </c>
      <c r="B11" s="3" t="s">
        <v>17</v>
      </c>
      <c r="C11" s="3" t="s">
        <v>18</v>
      </c>
      <c r="D11" s="3"/>
    </row>
    <row r="12" spans="1:4" x14ac:dyDescent="0.25">
      <c r="A12" s="3">
        <v>8</v>
      </c>
      <c r="B12" s="3" t="s">
        <v>19</v>
      </c>
      <c r="C12" s="3" t="s">
        <v>20</v>
      </c>
      <c r="D12" s="3"/>
    </row>
    <row r="13" spans="1:4" x14ac:dyDescent="0.25">
      <c r="A13" s="3">
        <v>9</v>
      </c>
      <c r="B13" s="3" t="s">
        <v>21</v>
      </c>
      <c r="C13" s="3" t="s">
        <v>22</v>
      </c>
      <c r="D13" s="3"/>
    </row>
    <row r="14" spans="1:4" x14ac:dyDescent="0.25">
      <c r="A14" s="3">
        <v>10</v>
      </c>
      <c r="B14" s="3" t="s">
        <v>23</v>
      </c>
      <c r="C14" s="3" t="s">
        <v>24</v>
      </c>
      <c r="D14" s="3"/>
    </row>
    <row r="15" spans="1:4" x14ac:dyDescent="0.25">
      <c r="A15" s="3">
        <v>11</v>
      </c>
      <c r="B15" s="3" t="s">
        <v>25</v>
      </c>
      <c r="C15" s="3" t="s">
        <v>26</v>
      </c>
      <c r="D15" s="3"/>
    </row>
    <row r="16" spans="1:4" x14ac:dyDescent="0.25">
      <c r="A16" s="3">
        <v>12</v>
      </c>
      <c r="B16" s="3" t="s">
        <v>27</v>
      </c>
      <c r="C16" s="3" t="s">
        <v>28</v>
      </c>
      <c r="D16" s="3"/>
    </row>
    <row r="17" spans="1:4" x14ac:dyDescent="0.25">
      <c r="A17" s="3">
        <v>13</v>
      </c>
      <c r="B17" s="3" t="s">
        <v>29</v>
      </c>
      <c r="C17" s="3" t="s">
        <v>30</v>
      </c>
      <c r="D17" s="3"/>
    </row>
    <row r="18" spans="1:4" x14ac:dyDescent="0.25">
      <c r="A18" s="3">
        <v>14</v>
      </c>
      <c r="B18" s="3" t="s">
        <v>31</v>
      </c>
      <c r="C18" s="3" t="s">
        <v>32</v>
      </c>
      <c r="D18" s="3"/>
    </row>
    <row r="19" spans="1:4" ht="30" x14ac:dyDescent="0.25">
      <c r="A19" s="3">
        <v>15</v>
      </c>
      <c r="B19" s="3" t="s">
        <v>33</v>
      </c>
      <c r="C19" s="3" t="s">
        <v>34</v>
      </c>
      <c r="D19" s="3" t="s">
        <v>35</v>
      </c>
    </row>
    <row r="20" spans="1:4" x14ac:dyDescent="0.25">
      <c r="A20" s="3">
        <v>16</v>
      </c>
      <c r="B20" s="3" t="s">
        <v>36</v>
      </c>
      <c r="C20" s="3" t="s">
        <v>37</v>
      </c>
      <c r="D20" s="3" t="s">
        <v>38</v>
      </c>
    </row>
    <row r="21" spans="1:4" x14ac:dyDescent="0.25">
      <c r="A21" s="3">
        <v>17</v>
      </c>
      <c r="B21" s="3" t="s">
        <v>39</v>
      </c>
      <c r="C21" s="3" t="s">
        <v>40</v>
      </c>
      <c r="D21" s="3" t="s">
        <v>41</v>
      </c>
    </row>
    <row r="22" spans="1:4" ht="30" x14ac:dyDescent="0.25">
      <c r="A22" s="3">
        <v>18</v>
      </c>
      <c r="B22" s="3" t="s">
        <v>33</v>
      </c>
      <c r="C22" s="3" t="s">
        <v>42</v>
      </c>
      <c r="D22" s="3" t="s">
        <v>35</v>
      </c>
    </row>
    <row r="23" spans="1:4" x14ac:dyDescent="0.25">
      <c r="A23" s="3">
        <v>19</v>
      </c>
      <c r="B23" s="3" t="s">
        <v>39</v>
      </c>
      <c r="C23" s="3" t="s">
        <v>43</v>
      </c>
      <c r="D23" s="3" t="s">
        <v>41</v>
      </c>
    </row>
  </sheetData>
  <mergeCells count="2"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tabSelected="1" workbookViewId="0">
      <selection activeCell="B14" sqref="B14"/>
    </sheetView>
  </sheetViews>
  <sheetFormatPr defaultRowHeight="15" x14ac:dyDescent="0.25"/>
  <cols>
    <col min="1" max="1" width="33.85546875" customWidth="1"/>
    <col min="2" max="2" width="19.7109375" customWidth="1"/>
    <col min="3" max="3" width="28.85546875" customWidth="1"/>
    <col min="4" max="4" width="25.140625" customWidth="1"/>
    <col min="6" max="6" width="12.28515625" bestFit="1" customWidth="1"/>
    <col min="7" max="7" width="17.5703125" bestFit="1" customWidth="1"/>
  </cols>
  <sheetData>
    <row r="1" spans="1:9" x14ac:dyDescent="0.25">
      <c r="A1" s="14" t="s">
        <v>44</v>
      </c>
      <c r="B1" s="15" t="s">
        <v>45</v>
      </c>
      <c r="C1" s="15" t="s">
        <v>46</v>
      </c>
      <c r="D1" s="16" t="s">
        <v>47</v>
      </c>
      <c r="F1" s="20" t="s">
        <v>67</v>
      </c>
      <c r="G1" s="20" t="s">
        <v>69</v>
      </c>
    </row>
    <row r="2" spans="1:9" x14ac:dyDescent="0.25">
      <c r="A2" s="9" t="s">
        <v>48</v>
      </c>
      <c r="B2" s="7" t="s">
        <v>49</v>
      </c>
      <c r="C2" s="7" t="s">
        <v>50</v>
      </c>
      <c r="D2" s="10">
        <v>221.98</v>
      </c>
      <c r="F2" s="6" t="str">
        <f>VLOOKUP(A2,A2:D6,2,)</f>
        <v>Technology</v>
      </c>
      <c r="G2" s="6" t="str">
        <f>VLOOKUP(Table3[[#This Row],[Product ID]],Table3[],3,)</f>
        <v>Samsung Convoy 3</v>
      </c>
    </row>
    <row r="3" spans="1:9" ht="30" x14ac:dyDescent="0.25">
      <c r="A3" s="9" t="s">
        <v>51</v>
      </c>
      <c r="B3" s="7" t="s">
        <v>52</v>
      </c>
      <c r="C3" s="7" t="s">
        <v>53</v>
      </c>
      <c r="D3" s="10">
        <v>3709.395</v>
      </c>
      <c r="F3" s="6" t="str">
        <f t="shared" ref="F3:F6" si="0">VLOOKUP(A3,A3:D7,2,)</f>
        <v>Furniture</v>
      </c>
      <c r="G3" s="6" t="str">
        <f>VLOOKUP(Table3[[#This Row],[Product ID]],Table3[],3,)</f>
        <v>Novimex Executive Leather Armchair, Black</v>
      </c>
    </row>
    <row r="4" spans="1:9" ht="30" x14ac:dyDescent="0.25">
      <c r="A4" s="9" t="s">
        <v>54</v>
      </c>
      <c r="B4" s="7" t="s">
        <v>49</v>
      </c>
      <c r="C4" s="7" t="s">
        <v>55</v>
      </c>
      <c r="D4" s="10">
        <v>5175.1710000000012</v>
      </c>
      <c r="F4" s="6" t="str">
        <f t="shared" si="0"/>
        <v>Technology</v>
      </c>
      <c r="G4" s="6" t="str">
        <f>VLOOKUP(Table3[[#This Row],[Product ID]],Table3[],3,)</f>
        <v>Nokia Smart Phone, with Caller ID</v>
      </c>
    </row>
    <row r="5" spans="1:9" ht="30" x14ac:dyDescent="0.25">
      <c r="A5" s="9" t="s">
        <v>56</v>
      </c>
      <c r="B5" s="7" t="s">
        <v>49</v>
      </c>
      <c r="C5" s="7" t="s">
        <v>57</v>
      </c>
      <c r="D5" s="10">
        <v>2892.51</v>
      </c>
      <c r="F5" s="6" t="str">
        <f t="shared" si="0"/>
        <v>Technology</v>
      </c>
      <c r="G5" s="6" t="str">
        <f>VLOOKUP(Table3[[#This Row],[Product ID]],Table3[],3,)</f>
        <v>Motorola Smart Phone, Cordless</v>
      </c>
    </row>
    <row r="6" spans="1:9" ht="30" x14ac:dyDescent="0.25">
      <c r="A6" s="11" t="s">
        <v>58</v>
      </c>
      <c r="B6" s="12" t="s">
        <v>49</v>
      </c>
      <c r="C6" s="12" t="s">
        <v>59</v>
      </c>
      <c r="D6" s="13">
        <v>2832.96</v>
      </c>
      <c r="F6" s="6" t="str">
        <f t="shared" si="0"/>
        <v>Technology</v>
      </c>
      <c r="G6" s="6" t="str">
        <f>VLOOKUP(Table3[[#This Row],[Product ID]],Table3[],3,)</f>
        <v>Sharp Wireless Fax, High-Speed</v>
      </c>
    </row>
    <row r="10" spans="1:9" x14ac:dyDescent="0.25">
      <c r="A10" s="17" t="s">
        <v>65</v>
      </c>
      <c r="B10" s="18"/>
      <c r="C10" s="18"/>
      <c r="D10" s="18"/>
      <c r="E10" s="19"/>
      <c r="F10" s="21" t="s">
        <v>68</v>
      </c>
      <c r="G10" s="22"/>
      <c r="H10" s="22"/>
      <c r="I10" s="22"/>
    </row>
    <row r="11" spans="1:9" x14ac:dyDescent="0.25">
      <c r="A11" s="14" t="s">
        <v>60</v>
      </c>
      <c r="B11" s="15" t="s">
        <v>61</v>
      </c>
      <c r="C11" s="15" t="s">
        <v>62</v>
      </c>
      <c r="D11" s="15" t="s">
        <v>63</v>
      </c>
      <c r="E11" s="16" t="s">
        <v>64</v>
      </c>
      <c r="F11" s="8">
        <f>HLOOKUP('Lookup Data'!B11,'Lookup Data'!A11:E12,2,)</f>
        <v>1000</v>
      </c>
      <c r="G11" s="6">
        <f>HLOOKUP('Lookup Data'!C11,'Lookup Data'!B11:F12,2,)</f>
        <v>1500</v>
      </c>
      <c r="H11" s="6">
        <f>HLOOKUP('Lookup Data'!D11,'Lookup Data'!C11:G12,2,)</f>
        <v>2000</v>
      </c>
      <c r="I11" s="6">
        <f>HLOOKUP('Lookup Data'!E11,'Lookup Data'!D11:H12,2,)</f>
        <v>2500</v>
      </c>
    </row>
    <row r="12" spans="1:9" x14ac:dyDescent="0.25">
      <c r="A12" s="11" t="s">
        <v>47</v>
      </c>
      <c r="B12" s="12">
        <v>1000</v>
      </c>
      <c r="C12" s="12">
        <v>1500</v>
      </c>
      <c r="D12" s="12">
        <v>2000</v>
      </c>
      <c r="E12" s="13">
        <v>2500</v>
      </c>
    </row>
  </sheetData>
  <mergeCells count="2">
    <mergeCell ref="F10:I10"/>
    <mergeCell ref="A10:E10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Lookup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Bilal Ahmed</cp:lastModifiedBy>
  <dcterms:created xsi:type="dcterms:W3CDTF">2026-10-18T12:50:41Z</dcterms:created>
  <dcterms:modified xsi:type="dcterms:W3CDTF">2026-10-24T18:45:17Z</dcterms:modified>
</cp:coreProperties>
</file>